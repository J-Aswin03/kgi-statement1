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D940" i="1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G931" l="1"/>
  <c r="D937" s="1"/>
  <c r="H878"/>
  <c r="H879" s="1"/>
  <c r="H880" s="1"/>
  <c r="H881" s="1"/>
  <c r="H882" s="1"/>
  <c r="H883" s="1"/>
  <c r="H884" s="1"/>
  <c r="H885" s="1"/>
  <c r="H886" s="1"/>
  <c r="H887" s="1"/>
  <c r="H888" s="1"/>
  <c r="H889" s="1"/>
  <c r="H890" s="1"/>
  <c r="H891" s="1"/>
  <c r="H892" s="1"/>
  <c r="E943" l="1"/>
  <c r="E944" s="1"/>
  <c r="E945" s="1"/>
  <c r="E946" s="1"/>
  <c r="E947" s="1"/>
</calcChain>
</file>

<file path=xl/sharedStrings.xml><?xml version="1.0" encoding="utf-8"?>
<sst xmlns="http://schemas.openxmlformats.org/spreadsheetml/2006/main" count="4177" uniqueCount="1810">
  <si>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</si>
  <si>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</si>
  <si>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</si>
  <si>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</si>
  <si>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</si>
  <si>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</si>
  <si>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</si>
  <si>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</si>
  <si>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</si>
  <si>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</si>
  <si>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</si>
  <si>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</si>
  <si>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</si>
  <si>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</si>
  <si>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</si>
  <si>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</si>
  <si>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</si>
  <si>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</si>
  <si>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</si>
  <si>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</si>
  <si>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</si>
  <si>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</si>
  <si>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</si>
  <si>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</si>
  <si>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</si>
  <si>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</si>
  <si>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</si>
  <si>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</si>
  <si>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</si>
  <si>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</si>
  <si>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</si>
  <si>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</si>
  <si>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</si>
  <si>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</si>
  <si>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</si>
  <si>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</si>
  <si>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</si>
  <si>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</si>
  <si>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</si>
  <si>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</si>
  <si>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</si>
  <si>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</si>
  <si>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</si>
  <si>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</si>
  <si>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</si>
  <si>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</si>
  <si>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</si>
  <si>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</si>
  <si>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</si>
  <si>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</si>
  <si>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</si>
  <si>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</si>
  <si>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</si>
  <si>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</si>
  <si>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</si>
  <si>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</si>
  <si>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</si>
  <si>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</si>
  <si>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</si>
  <si>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</si>
  <si>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</si>
  <si>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</si>
  <si>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</si>
  <si>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</si>
  <si>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</si>
  <si>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</si>
  <si>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</si>
  <si>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</si>
  <si>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</si>
  <si>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</si>
  <si>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</si>
  <si>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</si>
  <si>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</si>
  <si>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</si>
  <si>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</si>
  <si>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</si>
  <si>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</si>
  <si>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</si>
  <si>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</si>
  <si>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</si>
  <si>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</si>
  <si>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</si>
  <si>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</si>
  <si>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</si>
  <si>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</si>
  <si>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</si>
  <si>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</si>
  <si>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</si>
  <si>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</si>
  <si>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</si>
  <si>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</si>
  <si>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</si>
  <si>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</si>
  <si>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</si>
  <si>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</si>
  <si>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</si>
  <si>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</si>
  <si>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</si>
  <si>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</si>
  <si>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</si>
  <si>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</si>
  <si>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</si>
  <si>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</si>
  <si>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</si>
  <si>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</si>
  <si>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</si>
  <si>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</si>
  <si>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</si>
  <si>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</si>
  <si>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</si>
  <si>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</si>
  <si>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</si>
  <si>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</si>
  <si>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</si>
  <si>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</si>
  <si>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</si>
  <si>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</si>
  <si>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</si>
  <si>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</si>
  <si>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</si>
  <si>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</si>
  <si>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</si>
  <si>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</si>
  <si>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</si>
  <si>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</si>
  <si>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</si>
  <si>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</si>
  <si>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</si>
  <si>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</si>
  <si>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</si>
  <si>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</si>
  <si>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</si>
  <si>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</si>
  <si>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</si>
  <si>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</si>
  <si>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</si>
  <si>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</si>
  <si>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</si>
  <si>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</si>
  <si>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</si>
  <si>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</si>
  <si>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</si>
  <si>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</si>
  <si>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</si>
  <si>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</si>
  <si>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</si>
  <si>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</si>
  <si>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</si>
  <si>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</si>
  <si>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</si>
  <si>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</si>
  <si>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</si>
  <si>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</si>
  <si>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</si>
  <si>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</si>
  <si>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</si>
  <si>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</si>
  <si>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</si>
  <si>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</si>
  <si>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</si>
  <si>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</si>
  <si>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</si>
  <si>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</si>
  <si>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</si>
  <si>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</si>
  <si>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</si>
  <si>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</si>
  <si>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</si>
  <si>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</si>
  <si>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</si>
  <si>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</si>
  <si>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</si>
  <si>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</si>
  <si>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</si>
  <si>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</si>
  <si>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</si>
  <si>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</si>
  <si>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</si>
  <si>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</si>
  <si>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</si>
  <si>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</si>
  <si>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</si>
  <si>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</si>
  <si>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</si>
  <si>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</si>
  <si>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</si>
  <si>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</si>
  <si>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</si>
  <si>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</si>
  <si>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</si>
  <si>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</si>
  <si>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</si>
  <si>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</si>
  <si>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</si>
  <si>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</si>
  <si>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</si>
  <si>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</si>
  <si>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</si>
  <si>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</si>
  <si>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</si>
  <si>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</si>
  <si>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</si>
  <si>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</si>
  <si>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</si>
  <si>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</si>
  <si>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</si>
  <si>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</si>
  <si>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</si>
  <si>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</si>
  <si>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</si>
  <si>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</si>
  <si>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</si>
  <si>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</si>
  <si>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</si>
  <si>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</si>
  <si>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</si>
  <si>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</si>
  <si>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</si>
  <si>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</si>
  <si>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</si>
  <si>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</si>
  <si>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</si>
  <si>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</si>
  <si>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</si>
  <si>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</si>
  <si>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</si>
  <si>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</si>
  <si>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</si>
  <si>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</si>
  <si>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</si>
  <si>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</si>
  <si>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</si>
  <si>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</si>
  <si>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</si>
  <si>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</si>
  <si>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</si>
  <si>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</si>
  <si>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</si>
  <si>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</si>
  <si>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</si>
  <si>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</si>
  <si>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</si>
  <si>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</si>
  <si>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</si>
  <si>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</si>
  <si>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</si>
  <si>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</si>
  <si>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</si>
  <si>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</si>
  <si>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</si>
  <si>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</si>
  <si>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</si>
  <si>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</si>
  <si>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</si>
  <si>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</si>
  <si>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</si>
  <si>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</si>
  <si>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</si>
  <si>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</si>
  <si>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</si>
  <si>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</si>
  <si>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</si>
  <si>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</si>
  <si>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</si>
  <si>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</si>
  <si>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</si>
  <si>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</si>
  <si>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</si>
  <si>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</si>
  <si>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</si>
  <si>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</si>
  <si>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</si>
  <si>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</si>
  <si>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</si>
  <si>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</si>
  <si>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</si>
  <si>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</si>
  <si>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</si>
  <si>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</si>
  <si>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</si>
  <si>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</si>
  <si>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</si>
  <si>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</si>
  <si>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</si>
  <si>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</si>
  <si>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</si>
  <si>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</si>
  <si>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</si>
  <si>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</si>
  <si>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</si>
  <si>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</si>
  <si>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</si>
  <si>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</si>
  <si>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</si>
  <si>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</si>
  <si>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</si>
  <si>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</si>
  <si>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</si>
  <si>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</si>
  <si>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</si>
  <si>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</si>
  <si>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</si>
  <si>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</si>
  <si>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</si>
  <si>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</si>
  <si>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</si>
  <si>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</si>
  <si>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</si>
  <si>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</si>
  <si>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</si>
  <si>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</si>
  <si>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</si>
  <si>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</si>
  <si>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</si>
  <si>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</si>
  <si>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</si>
  <si>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</si>
  <si>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</si>
  <si>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</si>
  <si>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</si>
  <si>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</si>
  <si>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</si>
  <si>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</si>
  <si>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</si>
  <si>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</si>
  <si>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</si>
  <si>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</si>
  <si>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</si>
  <si>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</si>
  <si>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</si>
  <si>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</si>
  <si>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</si>
  <si>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</si>
  <si>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</si>
  <si>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</si>
  <si>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</si>
  <si>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</si>
  <si>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</si>
  <si>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</si>
  <si>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</si>
  <si>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</si>
  <si>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</si>
  <si>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</si>
  <si>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</si>
  <si>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</si>
  <si>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</si>
  <si>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</si>
  <si>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</si>
  <si>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</si>
  <si>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</si>
  <si>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</si>
  <si>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</si>
  <si>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</si>
  <si>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</si>
  <si>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</si>
  <si>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</si>
  <si>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</si>
  <si>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</si>
  <si>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</si>
  <si>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</si>
  <si>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</si>
  <si>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</si>
  <si>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</si>
  <si>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</si>
  <si>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</si>
  <si>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</si>
  <si>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</si>
  <si>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</si>
  <si>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</si>
  <si>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</si>
  <si>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</si>
  <si>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</si>
  <si>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</si>
  <si>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</si>
  <si>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</si>
  <si>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</si>
  <si>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</si>
  <si>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</si>
  <si>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</si>
  <si>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</si>
  <si>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</si>
  <si>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</si>
  <si>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</si>
  <si>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</si>
  <si>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</si>
  <si>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</si>
  <si>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</si>
  <si>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</si>
  <si>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</si>
  <si>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</si>
  <si>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</si>
  <si>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</si>
  <si>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</si>
  <si>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</si>
  <si>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</si>
  <si>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</si>
  <si>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</si>
  <si>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</si>
  <si>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</si>
  <si>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</si>
  <si>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</si>
  <si>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</si>
  <si>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</si>
  <si>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</si>
  <si>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</si>
  <si>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</si>
  <si>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</si>
  <si>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</si>
  <si>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</si>
  <si>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</si>
  <si>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</si>
  <si>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</si>
  <si>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</si>
  <si>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</si>
  <si>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</si>
  <si>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</si>
  <si>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</si>
  <si>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</si>
  <si>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</si>
  <si>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</si>
  <si>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</si>
  <si>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</si>
  <si>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</si>
  <si>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</si>
  <si>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</si>
  <si>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</si>
  <si>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</si>
  <si>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</si>
  <si>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</si>
  <si>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</si>
  <si>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</si>
  <si>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</si>
  <si>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</si>
  <si>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</si>
  <si>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</si>
  <si>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</si>
  <si>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</si>
  <si>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</si>
  <si>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</si>
  <si>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</si>
  <si>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</si>
  <si>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</si>
  <si>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</si>
  <si>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</si>
  <si>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</si>
  <si>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</si>
  <si>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</si>
  <si>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</si>
  <si>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</si>
  <si>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</si>
  <si>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</si>
  <si>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</si>
  <si>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</si>
  <si>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</si>
  <si>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</si>
  <si>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</si>
  <si>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</si>
  <si>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</si>
  <si>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</si>
  <si>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</si>
  <si>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</si>
  <si>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</si>
  <si>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</si>
  <si>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</si>
  <si>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</si>
  <si>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</si>
  <si>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</si>
  <si>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</si>
  <si>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</si>
  <si>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</si>
  <si>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</si>
  <si>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</si>
  <si>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</si>
  <si>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</si>
  <si>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</si>
  <si>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</si>
  <si>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</si>
  <si>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</si>
  <si>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</si>
  <si>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</si>
  <si>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</si>
  <si>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</si>
  <si>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</si>
  <si>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</si>
  <si>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</si>
  <si>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</si>
  <si>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</si>
  <si>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</si>
  <si>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</si>
  <si>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</si>
  <si>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</si>
  <si>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</si>
  <si>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</si>
  <si>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</si>
  <si>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</si>
  <si>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</si>
  <si>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</si>
  <si>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</si>
  <si>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</si>
  <si>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</si>
  <si>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</si>
  <si>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</si>
  <si>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</si>
  <si>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</si>
  <si>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</si>
  <si>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</si>
  <si>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</si>
  <si>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</si>
  <si>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</si>
  <si>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</si>
  <si>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</si>
  <si>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</si>
  <si>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</si>
  <si>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</si>
  <si>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</si>
  <si>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</si>
  <si>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</si>
  <si>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</si>
  <si>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</si>
  <si>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</si>
  <si>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</si>
  <si>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</si>
  <si>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</si>
  <si>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</si>
  <si>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</si>
  <si>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</si>
  <si>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</si>
  <si>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</si>
  <si>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</si>
  <si>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</si>
  <si>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</si>
  <si>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</si>
  <si>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</si>
  <si>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</si>
  <si>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</si>
  <si>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</si>
  <si>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</si>
  <si>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</si>
  <si>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</si>
  <si>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</si>
  <si>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</si>
  <si>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</si>
  <si>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</si>
  <si>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</si>
  <si>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</si>
  <si>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</si>
  <si>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</si>
  <si>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</si>
  <si>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</si>
  <si>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</si>
  <si>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</si>
  <si>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</si>
  <si>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</si>
  <si>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</si>
  <si>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</si>
  <si>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</si>
  <si>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</si>
  <si>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</si>
  <si>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</si>
  <si>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</si>
  <si>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</si>
  <si>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</si>
  <si>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</si>
  <si>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</si>
  <si>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</si>
  <si>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</si>
  <si>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</si>
  <si>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</si>
  <si>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</si>
  <si>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</si>
  <si>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</si>
  <si>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</si>
  <si>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</si>
  <si>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</si>
  <si>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</si>
  <si>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</si>
  <si>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</si>
  <si>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</si>
  <si>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</si>
  <si>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</si>
  <si>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</si>
  <si>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</si>
  <si>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</si>
  <si>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</si>
  <si>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</si>
  <si>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</si>
  <si>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</si>
  <si>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</si>
  <si>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</si>
  <si>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</si>
  <si>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</si>
  <si>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</si>
  <si>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</si>
  <si>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</si>
  <si>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</si>
  <si>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</si>
  <si>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</si>
  <si>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</si>
  <si>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</si>
  <si>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</si>
  <si>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</si>
  <si>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</si>
  <si>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</si>
  <si>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</si>
  <si>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</si>
  <si>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</si>
  <si>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</si>
  <si>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</si>
  <si>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</si>
  <si>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</si>
  <si>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</si>
  <si>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</si>
  <si>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</si>
  <si>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</si>
  <si>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</si>
  <si>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</si>
  <si>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</si>
  <si>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</si>
  <si>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</si>
  <si>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</si>
  <si>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</si>
  <si>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</si>
  <si>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</si>
  <si>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</si>
  <si>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</si>
  <si>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</si>
  <si>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</si>
  <si>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</si>
  <si>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</si>
  <si>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</si>
  <si>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</si>
  <si>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</si>
  <si>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</si>
  <si>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</si>
  <si>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</si>
  <si>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</si>
  <si>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</si>
  <si>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</si>
  <si>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</si>
  <si>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</si>
  <si>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</si>
  <si>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</si>
  <si>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</si>
  <si>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</si>
  <si>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</si>
  <si>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</si>
  <si>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</si>
  <si>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</si>
  <si>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</si>
  <si>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</si>
  <si>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</si>
  <si>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</si>
  <si>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</si>
  <si>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</si>
  <si>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</si>
  <si>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</si>
  <si>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</si>
  <si>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</si>
  <si>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</si>
  <si>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</si>
  <si>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</si>
  <si>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</si>
  <si>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</si>
  <si>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</si>
  <si>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</si>
  <si>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</si>
  <si>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</si>
  <si>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</si>
  <si>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</si>
  <si>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</si>
  <si>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</si>
  <si>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</si>
  <si>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</si>
  <si>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</si>
  <si>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</si>
  <si>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</si>
  <si>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</si>
  <si>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</si>
  <si>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</si>
  <si>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</si>
  <si>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</si>
  <si>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</si>
  <si>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</si>
  <si>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</si>
  <si>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</si>
  <si>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</si>
  <si>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</si>
  <si>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</si>
  <si>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</si>
  <si>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</si>
  <si>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</si>
  <si>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</si>
  <si>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</si>
  <si>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</si>
  <si>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</si>
  <si>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</si>
  <si>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</si>
  <si>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</si>
  <si>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</si>
  <si>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</si>
  <si>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</si>
  <si>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</si>
  <si>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</si>
  <si>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</si>
  <si>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</si>
  <si>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</si>
  <si>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</si>
  <si>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</si>
  <si>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</si>
  <si>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</si>
  <si>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</si>
  <si>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</si>
  <si>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</si>
  <si>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</si>
  <si>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</si>
  <si>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</si>
  <si>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</si>
  <si>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</si>
  <si>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</si>
  <si>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</si>
  <si>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</si>
  <si>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</si>
  <si>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</si>
  <si>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</si>
  <si>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</si>
  <si>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</si>
  <si>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</si>
  <si>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</si>
  <si>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</si>
  <si>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</si>
  <si>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</si>
  <si>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</si>
  <si>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</si>
  <si>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</si>
  <si>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</si>
  <si>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</si>
  <si>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</si>
  <si>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</si>
  <si>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</si>
  <si>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</si>
  <si>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</si>
  <si>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</si>
  <si>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</si>
  <si>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</si>
  <si>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</si>
  <si>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</si>
  <si>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</si>
  <si>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</si>
  <si>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</si>
  <si>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</si>
  <si>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</si>
  <si>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</si>
  <si>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</si>
  <si>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</si>
  <si>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</si>
  <si>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</si>
  <si>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</si>
  <si>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</si>
  <si>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</si>
  <si>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</si>
  <si>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</si>
  <si>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</si>
  <si>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</si>
  <si>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</si>
  <si>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</si>
  <si>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</si>
  <si>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</si>
  <si>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</si>
  <si>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</si>
  <si>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</si>
  <si>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</si>
  <si>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</si>
  <si>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</si>
  <si>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</si>
  <si>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</si>
  <si>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</si>
  <si>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</si>
  <si>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</si>
  <si>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</si>
  <si>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</si>
  <si>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</si>
  <si>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</si>
  <si>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</si>
  <si>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</si>
  <si>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</si>
  <si>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</si>
  <si>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</si>
  <si>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</si>
  <si>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</si>
  <si>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</si>
  <si>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</si>
  <si>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</si>
  <si>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</si>
  <si>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</si>
  <si>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</si>
  <si>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</si>
  <si>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</si>
  <si>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</si>
  <si>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</si>
  <si>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</si>
  <si>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</si>
  <si>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</si>
  <si>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</si>
  <si>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</si>
  <si>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</si>
  <si>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</si>
  <si>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</si>
  <si>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</si>
  <si>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</si>
  <si>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</si>
  <si>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</si>
  <si>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</si>
  <si>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</si>
  <si>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</si>
  <si>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</si>
  <si>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</si>
  <si>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</si>
  <si>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</si>
  <si>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</si>
  <si>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</si>
  <si>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</si>
  <si>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</si>
  <si>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</si>
  <si>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</si>
  <si>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</si>
  <si>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</si>
  <si>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</si>
  <si>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</si>
  <si>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</si>
  <si>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</si>
  <si>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</si>
  <si>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</si>
  <si>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</si>
  <si>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</si>
  <si>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</si>
  <si>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</si>
  <si>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</si>
  <si>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</si>
  <si>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</si>
  <si>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</si>
  <si>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</si>
  <si>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</si>
  <si>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</si>
  <si>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</si>
  <si>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</si>
  <si>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</si>
  <si>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</si>
  <si>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</si>
  <si>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</si>
  <si>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</si>
  <si>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</si>
  <si>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</si>
  <si>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</si>
  <si>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</si>
  <si>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</si>
  <si>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</si>
  <si>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</si>
  <si>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</si>
  <si>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</si>
  <si>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</si>
  <si>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</si>
  <si>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</si>
  <si>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</si>
  <si>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</si>
  <si>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</si>
  <si>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</si>
  <si>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</si>
  <si>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</si>
  <si>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</si>
  <si>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</si>
  <si>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</si>
  <si>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</si>
  <si>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</si>
  <si>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</si>
  <si>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</si>
  <si>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</si>
  <si>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</si>
  <si>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</si>
  <si>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</si>
  <si>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</si>
  <si>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</si>
  <si>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</si>
  <si>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</si>
  <si>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</si>
  <si>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</si>
  <si>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</si>
  <si>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</si>
  <si>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</si>
  <si>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</si>
  <si>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</si>
  <si>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</si>
  <si>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</si>
  <si>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</si>
  <si>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</si>
  <si>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</si>
  <si>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</si>
  <si>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</si>
  <si>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</si>
  <si>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</si>
  <si>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</si>
  <si>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</si>
  <si>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</si>
  <si>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</si>
  <si>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</si>
  <si>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</si>
  <si>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</si>
  <si>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</si>
  <si>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</si>
  <si>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</si>
  <si>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</si>
  <si>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</si>
  <si>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</si>
  <si>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</si>
  <si>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</si>
  <si>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</si>
  <si>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</si>
  <si>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</si>
  <si>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</si>
  <si>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</si>
  <si>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</si>
  <si>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</si>
  <si>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</si>
  <si>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</si>
  <si>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</si>
  <si>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</si>
  <si>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</si>
  <si>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</si>
  <si>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</si>
  <si>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</si>
  <si>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</si>
  <si>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</si>
  <si>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</si>
  <si>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</si>
  <si>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</si>
  <si>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</si>
  <si>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</si>
  <si>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</si>
  <si>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</si>
  <si>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</si>
  <si>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</si>
  <si>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</si>
  <si>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</si>
  <si>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</si>
  <si>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</si>
  <si>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</si>
  <si>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</si>
  <si>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</si>
  <si>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</si>
  <si>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</si>
  <si>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</si>
  <si>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</si>
  <si>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</si>
  <si>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</si>
  <si>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</si>
  <si>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</si>
  <si>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</si>
  <si>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</si>
  <si>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</si>
  <si>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</si>
  <si>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</si>
  <si>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</si>
  <si>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</si>
  <si>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</si>
  <si>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</si>
  <si>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</si>
  <si>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</si>
  <si>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</si>
  <si>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</si>
  <si>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</si>
  <si>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</si>
  <si>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</si>
  <si>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</si>
  <si>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</si>
  <si>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</si>
  <si>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</si>
  <si>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</si>
  <si>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</si>
  <si>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</si>
  <si>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</si>
  <si>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</si>
  <si>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</si>
  <si>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</si>
  <si>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</si>
  <si>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</si>
  <si>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</si>
  <si>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</si>
  <si>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</si>
  <si>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</si>
  <si>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</si>
  <si>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</si>
  <si>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</si>
  <si>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</si>
  <si>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</si>
  <si>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</si>
  <si>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</si>
  <si>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</si>
  <si>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</si>
  <si>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</si>
  <si>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</si>
  <si>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</si>
  <si>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</si>
  <si>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</si>
  <si>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</si>
  <si>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</si>
  <si>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</si>
  <si>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</si>
  <si>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</si>
  <si>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</si>
  <si>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</si>
  <si>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</si>
  <si>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</si>
  <si>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</si>
  <si>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</si>
  <si>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</si>
  <si>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</si>
  <si>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</si>
  <si>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</si>
  <si>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</si>
  <si>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</si>
  <si>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</si>
  <si>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</si>
  <si>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</si>
  <si>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</si>
  <si>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</si>
  <si>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</si>
  <si>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</si>
  <si>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</si>
  <si>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</si>
  <si>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</si>
  <si>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</si>
  <si>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</si>
  <si>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</si>
  <si>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</si>
  <si>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</si>
  <si>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</si>
  <si>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</si>
  <si>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</si>
  <si>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</si>
  <si>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</si>
  <si>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</si>
  <si>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</si>
  <si>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</si>
  <si>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</si>
  <si>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</si>
  <si>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</si>
  <si>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</si>
  <si>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</si>
  <si>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</si>
  <si>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</si>
  <si>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</si>
  <si>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</si>
  <si>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</si>
  <si>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</si>
  <si>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</si>
  <si>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</si>
  <si>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</si>
  <si>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</si>
  <si>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</si>
  <si>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</si>
  <si>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</si>
  <si>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</si>
  <si>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</si>
  <si>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</si>
  <si>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</si>
  <si>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</si>
  <si>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</si>
  <si>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</si>
  <si>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</si>
  <si>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</si>
  <si>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</si>
  <si>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</si>
  <si>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</si>
  <si>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</si>
  <si>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</si>
  <si>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</si>
  <si>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</si>
  <si>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</si>
  <si>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</si>
  <si>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</si>
  <si>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</si>
  <si>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</si>
  <si>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</si>
  <si>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</si>
  <si>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</si>
  <si>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</si>
  <si>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</si>
  <si>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</si>
  <si>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</si>
  <si>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</si>
  <si>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</si>
  <si>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</si>
  <si>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</si>
  <si>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</si>
  <si>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</si>
  <si>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</si>
  <si>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</si>
  <si>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</si>
  <si>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</si>
  <si>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</si>
  <si>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</si>
  <si>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</si>
  <si>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</si>
  <si>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</si>
  <si>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</si>
  <si>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</si>
  <si>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</si>
  <si>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</si>
  <si>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</si>
  <si>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</si>
  <si>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</si>
  <si>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</si>
  <si>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</si>
  <si>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</si>
  <si>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</si>
  <si>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</si>
  <si>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</si>
  <si>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</si>
  <si>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</si>
  <si>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</si>
  <si>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</si>
  <si>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</si>
  <si>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</si>
  <si>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</si>
  <si>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</si>
  <si>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</si>
  <si>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</si>
  <si>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</si>
  <si>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</si>
  <si>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</si>
  <si>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</si>
  <si>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</si>
  <si>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</si>
  <si>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</si>
  <si>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</si>
  <si>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</si>
  <si>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</si>
  <si>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</si>
  <si>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</si>
  <si>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</si>
  <si>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</si>
  <si>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</si>
  <si>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</si>
  <si>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</si>
  <si>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</si>
  <si>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</si>
  <si>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</si>
  <si>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</si>
  <si>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</si>
  <si>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</si>
  <si>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</si>
  <si>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</si>
  <si>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</si>
  <si>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</si>
  <si>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</si>
  <si>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</si>
  <si>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</si>
  <si>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</si>
  <si>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</si>
  <si>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</si>
  <si>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</si>
  <si>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</si>
  <si>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</si>
  <si>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</si>
  <si>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</si>
  <si>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</si>
  <si>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</si>
  <si>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</si>
  <si>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</si>
  <si>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</si>
  <si>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</si>
  <si>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</si>
  <si>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</si>
  <si>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</si>
  <si>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</si>
  <si>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</si>
  <si>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</si>
  <si>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</si>
  <si>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</si>
  <si>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</si>
  <si>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</si>
  <si>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</si>
  <si>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</si>
  <si>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</si>
  <si>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</si>
  <si>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</si>
  <si>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</si>
  <si>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</si>
  <si>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</si>
  <si>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</si>
  <si>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</si>
  <si>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</si>
  <si>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</si>
  <si>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</si>
  <si>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</si>
  <si>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</si>
  <si>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</si>
  <si>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</si>
  <si>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</si>
  <si>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</si>
  <si>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</si>
  <si>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</si>
  <si>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</si>
  <si>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</si>
  <si>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</si>
  <si>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</si>
  <si>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</si>
  <si>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</si>
  <si>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</si>
  <si>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</si>
  <si>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</si>
  <si>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</si>
  <si>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</si>
  <si>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</si>
  <si>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</si>
  <si>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</si>
  <si>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</si>
  <si>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</si>
  <si>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</si>
  <si>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</si>
  <si>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</si>
  <si>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</si>
  <si>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</si>
  <si>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</si>
  <si>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</si>
  <si>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</si>
  <si>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</si>
  <si>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</si>
  <si>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</si>
  <si>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</si>
  <si>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</si>
  <si>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</si>
  <si>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</si>
  <si>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</si>
  <si>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</si>
  <si>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</si>
  <si>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</si>
  <si>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</si>
  <si>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</si>
  <si>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</si>
  <si>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</si>
  <si>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</si>
  <si>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</si>
  <si>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</si>
  <si>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</si>
  <si>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</si>
  <si>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</si>
  <si>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</si>
  <si>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</si>
  <si>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</si>
  <si>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</si>
  <si>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</si>
  <si>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</si>
  <si>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</si>
  <si>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</si>
  <si>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</si>
  <si>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</si>
  <si>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</si>
  <si>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</si>
  <si>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</si>
  <si>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</si>
  <si>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</si>
  <si>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</si>
  <si>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</si>
  <si>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</si>
  <si>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</si>
  <si>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</si>
  <si>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</si>
  <si>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</si>
  <si>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</si>
  <si>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</si>
  <si>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</si>
  <si>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</si>
  <si>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</si>
  <si>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</si>
  <si>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</si>
  <si>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</si>
  <si>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</si>
  <si>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</si>
  <si>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</si>
  <si>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</si>
  <si>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</si>
  <si>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</si>
  <si>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</si>
  <si>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</si>
  <si>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</si>
  <si>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</si>
  <si>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</si>
  <si>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</si>
  <si>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</si>
  <si>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</si>
  <si>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</si>
  <si>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</si>
  <si>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</si>
  <si>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</si>
  <si>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</si>
  <si>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</si>
  <si>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</si>
  <si>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</si>
  <si>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</si>
  <si>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</si>
  <si>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</si>
  <si>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</si>
  <si>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</si>
  <si>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</si>
  <si>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</si>
  <si>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</si>
  <si>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</si>
  <si>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</si>
  <si>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</si>
  <si>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</si>
  <si>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</si>
  <si>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</si>
  <si>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</si>
  <si>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</si>
  <si>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</si>
  <si>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</si>
  <si>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</si>
  <si>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</si>
  <si>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</si>
  <si>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</si>
  <si>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</si>
  <si>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</si>
  <si>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</si>
  <si>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</si>
  <si>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</si>
  <si>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</si>
  <si>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</si>
  <si>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</si>
  <si>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</si>
  <si>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</si>
  <si>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</si>
  <si>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</si>
  <si>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</si>
  <si>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</si>
  <si>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</si>
  <si>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</si>
  <si>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</si>
  <si>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</si>
  <si>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</si>
  <si>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</si>
  <si>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</si>
  <si>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</si>
  <si>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</si>
  <si>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</si>
  <si>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</si>
  <si>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</si>
  <si>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</si>
  <si>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</si>
  <si>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</si>
  <si>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</si>
  <si>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</si>
  <si>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</si>
  <si>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</si>
  <si>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</si>
  <si>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</si>
  <si>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</si>
  <si>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</si>
  <si>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</si>
  <si>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</si>
  <si>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</si>
  <si>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</si>
  <si>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</si>
  <si>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</si>
  <si>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</si>
  <si>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</si>
  <si>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</si>
  <si>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</si>
  <si>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</si>
  <si>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</si>
  <si>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</si>
  <si>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</si>
  <si>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</si>
  <si>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</si>
  <si>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</si>
  <si>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</si>
  <si>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</si>
  <si>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</si>
  <si>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</si>
  <si>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</si>
  <si>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</si>
  <si>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</si>
  <si>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</si>
  <si>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</si>
  <si>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</si>
  <si>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</si>
  <si>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</si>
  <si>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</si>
  <si>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</si>
  <si>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</si>
  <si>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</si>
  <si>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</si>
  <si>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</si>
  <si>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</si>
  <si>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</si>
  <si>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</si>
  <si>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</si>
  <si>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</si>
  <si>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</si>
  <si>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</si>
  <si>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</si>
  <si>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</si>
  <si>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</si>
  <si>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</si>
  <si>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</si>
  <si>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</si>
  <si>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</si>
  <si>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</si>
  <si>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</si>
  <si>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</si>
  <si>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</si>
  <si>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</si>
  <si>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</si>
  <si>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</si>
  <si>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</si>
  <si>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</si>
  <si>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</si>
  <si>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</si>
  <si>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</si>
  <si>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</si>
  <si>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</si>
  <si>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</si>
  <si>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</si>
  <si>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</si>
  <si>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</si>
  <si>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</si>
  <si>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</si>
  <si>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</si>
  <si>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</si>
  <si>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</si>
  <si>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</si>
  <si>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</si>
  <si>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</si>
  <si>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</si>
  <si>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</si>
  <si>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</si>
  <si>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</si>
  <si>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</si>
  <si>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</si>
  <si>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</si>
  <si>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</si>
  <si>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</si>
  <si>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</si>
  <si>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</si>
  <si>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</si>
  <si>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</si>
  <si>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</si>
  <si>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</si>
  <si>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</si>
  <si>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</si>
  <si>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</si>
  <si>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</si>
  <si>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</si>
  <si>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</si>
  <si>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</si>
  <si>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</si>
  <si>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</si>
  <si>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</si>
  <si>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</si>
  <si>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</si>
  <si>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</si>
  <si>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</si>
  <si>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</si>
  <si>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</si>
  <si>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</si>
  <si>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</si>
  <si>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</si>
  <si>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</si>
  <si>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</si>
  <si>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</si>
  <si>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</si>
  <si>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</si>
  <si>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</si>
  <si>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</si>
  <si>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</si>
  <si>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</si>
  <si>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</si>
  <si>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</si>
  <si>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</si>
  <si>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</si>
  <si>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</si>
  <si>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</si>
  <si>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</si>
  <si>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</si>
  <si>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</si>
  <si>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</si>
  <si>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</si>
  <si>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</si>
  <si>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</si>
  <si>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</si>
  <si>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</si>
  <si>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</si>
  <si>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</si>
  <si>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</si>
  <si>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</si>
  <si>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</si>
  <si>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</si>
  <si>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</si>
  <si>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</si>
  <si>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</si>
  <si>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</si>
  <si>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</si>
  <si>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</si>
  <si>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</si>
  <si>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</si>
  <si>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</si>
  <si>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</si>
  <si>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</si>
  <si>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</si>
  <si>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</si>
  <si>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</si>
  <si>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</si>
  <si>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</si>
  <si>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</si>
  <si>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</si>
  <si>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</si>
  <si>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</si>
  <si>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</si>
  <si>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</si>
  <si>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</si>
  <si>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</si>
  <si>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</si>
  <si>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</si>
  <si>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</si>
  <si>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</si>
  <si>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</si>
  <si>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</si>
  <si>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</si>
  <si>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</si>
  <si>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</si>
  <si>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</si>
  <si>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</si>
  <si>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</si>
  <si>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</si>
  <si>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</si>
  <si>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</si>
  <si>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</si>
  <si>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</si>
  <si>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</si>
  <si>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</si>
  <si>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</si>
  <si>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</si>
  <si>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</si>
  <si>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</si>
  <si>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</si>
  <si>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</si>
  <si>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</si>
  <si>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</si>
  <si>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</si>
  <si>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</si>
  <si>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</si>
  <si>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</si>
  <si>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</si>
  <si>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</si>
  <si>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</si>
  <si>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</si>
  <si>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</si>
  <si>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</si>
  <si>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</si>
  <si>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</si>
  <si>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</si>
  <si>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</si>
  <si>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</si>
  <si>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</si>
  <si>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</si>
  <si>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</si>
  <si>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</si>
  <si>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</si>
  <si>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</si>
  <si>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</si>
  <si>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</si>
  <si>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</si>
  <si>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</si>
  <si>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</si>
  <si>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</si>
  <si>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</si>
  <si>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</si>
  <si>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</si>
  <si>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</si>
  <si>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</si>
  <si>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</si>
  <si>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</si>
  <si>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</si>
  <si>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</si>
  <si>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</si>
  <si>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</si>
  <si>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</si>
  <si>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</si>
  <si>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</si>
  <si>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</si>
  <si>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</si>
  <si>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</si>
  <si>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</si>
  <si>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</si>
  <si>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</si>
  <si>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</si>
  <si>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</si>
  <si>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</si>
  <si>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</si>
  <si>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</si>
  <si>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</si>
  <si>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</si>
  <si>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</si>
  <si>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</si>
  <si>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</si>
  <si>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</si>
  <si>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</si>
  <si>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</si>
  <si>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</si>
  <si>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</si>
  <si>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</si>
  <si>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</si>
  <si>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</si>
  <si>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</si>
  <si>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</si>
  <si>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</si>
  <si>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</si>
  <si>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</si>
  <si>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</si>
  <si>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</si>
  <si>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</si>
  <si>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</si>
  <si>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</si>
  <si>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</si>
  <si>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</si>
  <si>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</si>
  <si>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</si>
  <si>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</si>
  <si>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</si>
  <si>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</si>
  <si>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</si>
  <si>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</si>
  <si>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</si>
  <si>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</si>
  <si>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</si>
  <si>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</si>
  <si>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</si>
  <si>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</si>
  <si>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</si>
  <si>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</si>
  <si>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</si>
  <si>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</si>
  <si>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</si>
  <si>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</si>
  <si>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</si>
  <si>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</si>
  <si>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</si>
  <si>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</si>
  <si>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</si>
  <si>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</si>
  <si>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</si>
  <si>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</si>
  <si>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</si>
  <si>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</si>
  <si>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</si>
  <si>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</si>
  <si>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</si>
  <si>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</si>
  <si>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</si>
  <si>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</si>
  <si>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</si>
  <si>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</si>
  <si>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</si>
  <si>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</si>
  <si>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</si>
  <si>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</si>
  <si>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</si>
  <si>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</si>
  <si>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</si>
  <si>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</si>
  <si>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</si>
  <si>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</si>
  <si>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</si>
  <si>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</si>
  <si>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</si>
  <si>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</si>
  <si>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</si>
  <si>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</si>
  <si>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</si>
  <si>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</si>
  <si>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</si>
  <si>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</si>
  <si>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</si>
  <si>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</si>
  <si>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</si>
  <si>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</si>
  <si>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</si>
  <si>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</si>
  <si>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</si>
  <si>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</si>
  <si>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</si>
  <si>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</si>
  <si>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</si>
  <si>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</si>
  <si>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</si>
  <si>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</si>
  <si>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</si>
  <si>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</si>
  <si>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</si>
  <si>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</si>
  <si>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</si>
  <si>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</si>
  <si>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</si>
  <si>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</si>
  <si>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</si>
  <si>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</si>
  <si>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</si>
  <si>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</si>
  <si>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</si>
  <si>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</si>
  <si>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</si>
  <si>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</si>
  <si>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</si>
  <si>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</si>
  <si>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</si>
  <si>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</si>
  <si>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</si>
  <si>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</si>
  <si>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</si>
  <si>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</si>
  <si>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</si>
  <si>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</si>
  <si>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</si>
  <si>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</si>
  <si>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</si>
  <si>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</si>
  <si>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</si>
  <si>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</si>
  <si>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</si>
  <si>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</si>
  <si>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</si>
  <si>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</si>
  <si>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</si>
  <si>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</si>
  <si>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</si>
  <si>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</si>
  <si>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</si>
  <si>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</si>
  <si>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</si>
  <si>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</si>
  <si>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</si>
  <si>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</si>
  <si>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</si>
  <si>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</si>
  <si>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</si>
  <si>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</si>
  <si>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</si>
  <si>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</si>
  <si>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</si>
  <si>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</si>
  <si>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</si>
  <si>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</si>
  <si>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</si>
  <si>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</si>
  <si>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</si>
  <si>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</si>
  <si>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</si>
  <si>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</si>
  <si>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</si>
  <si>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</si>
  <si>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</si>
  <si>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</si>
  <si>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</si>
  <si>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</si>
  <si>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</si>
  <si>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</si>
  <si>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</si>
  <si>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</si>
  <si>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</si>
  <si>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</si>
  <si>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</si>
  <si>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</si>
  <si>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</si>
  <si>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</si>
  <si>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</si>
  <si>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</si>
  <si>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</si>
  <si>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</si>
  <si>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</si>
  <si>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</si>
  <si>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</si>
  <si>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</si>
  <si>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</si>
  <si>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</si>
  <si>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</si>
  <si>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</si>
  <si>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</si>
  <si>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</si>
  <si>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</si>
  <si>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</si>
  <si>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</si>
  <si>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</si>
  <si>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</si>
  <si>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</si>
  <si>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</si>
  <si>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</si>
  <si>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</si>
  <si>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</si>
  <si>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</si>
  <si>
    <t>KKM000000157480/2025</t>
  </si>
  <si>
    <t>TSPS02577112</t>
  </si>
  <si>
    <t>KKM000000157484/2025</t>
  </si>
  <si>
    <t>TSPS02577113</t>
  </si>
  <si>
    <t>KKM000000157496/2025</t>
  </si>
  <si>
    <t>TSPS02577115</t>
  </si>
  <si>
    <t>KKM000000157504/2025</t>
  </si>
  <si>
    <t>TSPS02577116</t>
  </si>
  <si>
    <t>KKM000000157526/2025</t>
  </si>
  <si>
    <t>TSPS02577119</t>
  </si>
  <si>
    <t>KKM000000157527/2025</t>
  </si>
  <si>
    <t>TSPS02577120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</si>
</sst>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992"/>
  <sheetViews>
    <sheetView tabSelected="1" topLeftCell="A921" workbookViewId="0">
      <selection activeCell="J939" sqref="J939"/>
    </sheetView>
  </sheetViews>
  <sheetFormatPr defaultRowHeight="15"/>
  <cols>
    <col min="1" max="1" width="5.85546875" bestFit="1" customWidth="1"/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92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>
        <v>882</v>
      </c>
      <c r="B887" s="24">
        <v>45820</v>
      </c>
      <c r="C887" s="7" t="s">
        <v>1798</v>
      </c>
      <c r="D887" s="7" t="s">
        <v>10</v>
      </c>
      <c r="E887" s="7" t="s">
        <v>1799</v>
      </c>
      <c r="F887" s="7" t="s">
        <v>12</v>
      </c>
      <c r="G887" s="7">
        <v>32</v>
      </c>
      <c r="H887" s="11">
        <f t="shared" si="13"/>
        <v>28241</v>
      </c>
    </row>
    <row r="888" spans="1:8" s="26" customFormat="1" ht="15.75">
      <c r="A888" s="7">
        <v>883</v>
      </c>
      <c r="B888" s="24">
        <v>45820</v>
      </c>
      <c r="C888" s="7" t="s">
        <v>1800</v>
      </c>
      <c r="D888" s="7" t="s">
        <v>10</v>
      </c>
      <c r="E888" s="7" t="s">
        <v>1801</v>
      </c>
      <c r="F888" s="7" t="s">
        <v>12</v>
      </c>
      <c r="G888" s="7">
        <v>32</v>
      </c>
      <c r="H888" s="11">
        <f t="shared" si="13"/>
        <v>28273</v>
      </c>
    </row>
    <row r="889" spans="1:8" s="26" customFormat="1" ht="15.75">
      <c r="A889" s="7">
        <v>884</v>
      </c>
      <c r="B889" s="24">
        <v>45820</v>
      </c>
      <c r="C889" s="7" t="s">
        <v>1802</v>
      </c>
      <c r="D889" s="7" t="s">
        <v>10</v>
      </c>
      <c r="E889" s="7" t="s">
        <v>1803</v>
      </c>
      <c r="F889" s="7" t="s">
        <v>12</v>
      </c>
      <c r="G889" s="7">
        <v>32</v>
      </c>
      <c r="H889" s="11">
        <f t="shared" si="13"/>
        <v>28305</v>
      </c>
    </row>
    <row r="890" spans="1:8" s="26" customFormat="1" ht="15.75">
      <c r="A890" s="7">
        <v>885</v>
      </c>
      <c r="B890" s="24">
        <v>45820</v>
      </c>
      <c r="C890" s="7" t="s">
        <v>1804</v>
      </c>
      <c r="D890" s="7" t="s">
        <v>10</v>
      </c>
      <c r="E890" s="7" t="s">
        <v>1805</v>
      </c>
      <c r="F890" s="7" t="s">
        <v>12</v>
      </c>
      <c r="G890" s="7">
        <v>32</v>
      </c>
      <c r="H890" s="11">
        <f t="shared" si="13"/>
        <v>28337</v>
      </c>
    </row>
    <row r="891" spans="1:8" s="26" customFormat="1" ht="15.75">
      <c r="A891" s="7">
        <v>886</v>
      </c>
      <c r="B891" s="24">
        <v>45820</v>
      </c>
      <c r="C891" s="7" t="s">
        <v>1806</v>
      </c>
      <c r="D891" s="7" t="s">
        <v>10</v>
      </c>
      <c r="E891" s="7" t="s">
        <v>1807</v>
      </c>
      <c r="F891" s="7" t="s">
        <v>12</v>
      </c>
      <c r="G891" s="7">
        <v>32</v>
      </c>
      <c r="H891" s="11">
        <f t="shared" si="13"/>
        <v>28369</v>
      </c>
    </row>
    <row r="892" spans="1:8" s="26" customFormat="1" ht="15.75">
      <c r="A892" s="7">
        <v>887</v>
      </c>
      <c r="B892" s="24">
        <v>45820</v>
      </c>
      <c r="C892" s="7" t="s">
        <v>1808</v>
      </c>
      <c r="D892" s="7" t="s">
        <v>10</v>
      </c>
      <c r="E892" s="7" t="s">
        <v>1809</v>
      </c>
      <c r="F892" s="7" t="s">
        <v>12</v>
      </c>
      <c r="G892" s="7">
        <v>32</v>
      </c>
      <c r="H892" s="11">
        <f t="shared" si="13"/>
        <v>28401</v>
      </c>
    </row>
    <row r="893" spans="1:8" s="26" customFormat="1" ht="15.75">
      <c r="A893" s="7"/>
      <c r="B893" s="24"/>
      <c r="C893" s="7"/>
      <c r="D893" s="7"/>
      <c r="E893" s="7"/>
      <c r="F893" s="7"/>
      <c r="G893" s="7"/>
      <c r="H893" s="11"/>
    </row>
    <row r="894" spans="1:8" s="26" customFormat="1" ht="15.75">
      <c r="A894" s="7"/>
      <c r="B894" s="24"/>
      <c r="C894" s="7"/>
      <c r="D894" s="7"/>
      <c r="E894" s="7"/>
      <c r="F894" s="7"/>
      <c r="G894" s="7"/>
      <c r="H894" s="11"/>
    </row>
    <row r="895" spans="1:8" s="26" customFormat="1" ht="15.75">
      <c r="A895" s="7"/>
      <c r="B895" s="24"/>
      <c r="C895" s="7"/>
      <c r="D895" s="7"/>
      <c r="E895" s="7"/>
      <c r="F895" s="7"/>
      <c r="G895" s="7"/>
      <c r="H895" s="11"/>
    </row>
    <row r="896" spans="1:8" s="26" customFormat="1" ht="15.75">
      <c r="A896" s="7"/>
      <c r="B896" s="24"/>
      <c r="C896" s="7"/>
      <c r="D896" s="7"/>
      <c r="E896" s="7"/>
      <c r="F896" s="7"/>
      <c r="G896" s="7"/>
      <c r="H896" s="11"/>
    </row>
    <row r="897" spans="1:8" s="26" customFormat="1" ht="15.75">
      <c r="A897" s="7"/>
      <c r="B897" s="24"/>
      <c r="C897" s="7"/>
      <c r="D897" s="7"/>
      <c r="E897" s="7"/>
      <c r="F897" s="7"/>
      <c r="G897" s="7"/>
      <c r="H897" s="11"/>
    </row>
    <row r="898" spans="1:8" s="26" customFormat="1" ht="15.75">
      <c r="A898" s="7"/>
      <c r="B898" s="24"/>
      <c r="C898" s="7"/>
      <c r="D898" s="7"/>
      <c r="E898" s="7"/>
      <c r="F898" s="7"/>
      <c r="G898" s="7"/>
      <c r="H898" s="11"/>
    </row>
    <row r="899" spans="1:8" s="26" customFormat="1" ht="15.75">
      <c r="A899" s="7"/>
      <c r="B899" s="24"/>
      <c r="C899" s="7"/>
      <c r="D899" s="7"/>
      <c r="E899" s="7"/>
      <c r="F899" s="7"/>
      <c r="G899" s="7"/>
      <c r="H899" s="11"/>
    </row>
    <row r="900" spans="1:8" s="26" customFormat="1" ht="15.75">
      <c r="A900" s="7"/>
      <c r="B900" s="24"/>
      <c r="C900" s="7"/>
      <c r="D900" s="7"/>
      <c r="E900" s="7"/>
      <c r="F900" s="7"/>
      <c r="G900" s="7"/>
      <c r="H900" s="11"/>
    </row>
    <row r="901" spans="1:8" s="26" customFormat="1" ht="15.75">
      <c r="A901" s="7"/>
      <c r="B901" s="24"/>
      <c r="C901" s="7"/>
      <c r="D901" s="7"/>
      <c r="E901" s="7"/>
      <c r="F901" s="7"/>
      <c r="G901" s="7"/>
      <c r="H901" s="11"/>
    </row>
    <row r="902" spans="1:8" s="26" customFormat="1" ht="15.75">
      <c r="A902" s="7"/>
      <c r="B902" s="24"/>
      <c r="C902" s="7"/>
      <c r="D902" s="7"/>
      <c r="E902" s="7"/>
      <c r="F902" s="7"/>
      <c r="G902" s="7"/>
      <c r="H902" s="11"/>
    </row>
    <row r="903" spans="1:8" s="26" customFormat="1" ht="15.75">
      <c r="A903" s="7"/>
      <c r="B903" s="24"/>
      <c r="C903" s="7"/>
      <c r="D903" s="7"/>
      <c r="E903" s="7"/>
      <c r="F903" s="7"/>
      <c r="G903" s="7"/>
      <c r="H903" s="11"/>
    </row>
    <row r="904" spans="1:8" s="26" customFormat="1" ht="15.75">
      <c r="A904" s="7"/>
      <c r="B904" s="24"/>
      <c r="C904" s="7"/>
      <c r="D904" s="7"/>
      <c r="E904" s="7"/>
      <c r="F904" s="7"/>
      <c r="G904" s="7"/>
      <c r="H904" s="11"/>
    </row>
    <row r="905" spans="1:8" s="26" customFormat="1" ht="15.75">
      <c r="A905" s="7"/>
      <c r="B905" s="24"/>
      <c r="C905" s="7"/>
      <c r="D905" s="7"/>
      <c r="E905" s="7"/>
      <c r="F905" s="7"/>
      <c r="G905" s="7"/>
      <c r="H905" s="11"/>
    </row>
    <row r="906" spans="1:8" s="26" customFormat="1" ht="15.75">
      <c r="A906" s="7"/>
      <c r="B906" s="24"/>
      <c r="C906" s="7"/>
      <c r="D906" s="7"/>
      <c r="E906" s="7"/>
      <c r="F906" s="7"/>
      <c r="G906" s="7"/>
      <c r="H906" s="11"/>
    </row>
    <row r="907" spans="1:8" s="26" customFormat="1" ht="15.75">
      <c r="A907" s="7"/>
      <c r="B907" s="24"/>
      <c r="C907" s="7"/>
      <c r="D907" s="7"/>
      <c r="E907" s="7"/>
      <c r="F907" s="7"/>
      <c r="G907" s="7"/>
      <c r="H907" s="11"/>
    </row>
    <row r="908" spans="1:8" s="26" customFormat="1" ht="15.75">
      <c r="A908" s="7"/>
      <c r="B908" s="24"/>
      <c r="C908" s="7"/>
      <c r="D908" s="7"/>
      <c r="E908" s="7"/>
      <c r="F908" s="7"/>
      <c r="G908" s="7"/>
      <c r="H908" s="11"/>
    </row>
    <row r="909" spans="1:8" s="26" customFormat="1" ht="15.75">
      <c r="A909" s="7"/>
      <c r="B909" s="24"/>
      <c r="C909" s="7"/>
      <c r="D909" s="7"/>
      <c r="E909" s="7"/>
      <c r="F909" s="7"/>
      <c r="G909" s="7"/>
      <c r="H909" s="11"/>
    </row>
    <row r="910" spans="1:8" s="26" customFormat="1" ht="15.75">
      <c r="A910" s="7"/>
      <c r="B910" s="24"/>
      <c r="C910" s="7"/>
      <c r="D910" s="7"/>
      <c r="E910" s="7"/>
      <c r="F910" s="7"/>
      <c r="G910" s="7"/>
      <c r="H910" s="11"/>
    </row>
    <row r="911" spans="1:8" s="26" customFormat="1" ht="15.75">
      <c r="A911" s="7"/>
      <c r="B911" s="24"/>
      <c r="C911" s="7"/>
      <c r="D911" s="7"/>
      <c r="E911" s="7"/>
      <c r="F911" s="7"/>
      <c r="G911" s="7"/>
      <c r="H911" s="11"/>
    </row>
    <row r="912" spans="1:8" s="26" customFormat="1" ht="15.75">
      <c r="A912" s="7"/>
      <c r="B912" s="24"/>
      <c r="C912" s="7"/>
      <c r="D912" s="7"/>
      <c r="E912" s="7"/>
      <c r="F912" s="7"/>
      <c r="G912" s="7"/>
      <c r="H912" s="11"/>
    </row>
    <row r="913" spans="1:8" s="26" customFormat="1" ht="15.75">
      <c r="A913" s="7"/>
      <c r="B913" s="24"/>
      <c r="C913" s="7"/>
      <c r="D913" s="7"/>
      <c r="E913" s="7"/>
      <c r="F913" s="7"/>
      <c r="G913" s="7"/>
      <c r="H913" s="11"/>
    </row>
    <row r="914" spans="1:8" s="26" customFormat="1" ht="15.75">
      <c r="A914" s="7"/>
      <c r="B914" s="24"/>
      <c r="C914" s="7"/>
      <c r="D914" s="7"/>
      <c r="E914" s="7"/>
      <c r="F914" s="7"/>
      <c r="G914" s="7"/>
      <c r="H914" s="11"/>
    </row>
    <row r="915" spans="1:8" s="26" customFormat="1" ht="15.75">
      <c r="A915" s="7"/>
      <c r="B915" s="24"/>
      <c r="C915" s="7"/>
      <c r="D915" s="7"/>
      <c r="E915" s="7"/>
      <c r="F915" s="7"/>
      <c r="G915" s="7"/>
      <c r="H915" s="11"/>
    </row>
    <row r="916" spans="1:8" s="26" customFormat="1" ht="15.75">
      <c r="A916" s="7"/>
      <c r="B916" s="24"/>
      <c r="C916" s="7"/>
      <c r="D916" s="7"/>
      <c r="E916" s="7"/>
      <c r="F916" s="7"/>
      <c r="G916" s="7"/>
      <c r="H916" s="11"/>
    </row>
    <row r="917" spans="1:8" s="26" customFormat="1" ht="15.75">
      <c r="A917" s="7"/>
      <c r="B917" s="24"/>
      <c r="C917" s="7"/>
      <c r="D917" s="7"/>
      <c r="E917" s="7"/>
      <c r="F917" s="7"/>
      <c r="G917" s="7"/>
      <c r="H917" s="11"/>
    </row>
    <row r="918" spans="1:8" s="26" customFormat="1" ht="15.75">
      <c r="A918" s="7"/>
      <c r="B918" s="24"/>
      <c r="C918" s="7"/>
      <c r="D918" s="7"/>
      <c r="E918" s="7"/>
      <c r="F918" s="7"/>
      <c r="G918" s="7"/>
      <c r="H918" s="11"/>
    </row>
    <row r="919" spans="1:8" s="26" customFormat="1" ht="15.75">
      <c r="A919" s="7"/>
      <c r="B919" s="24"/>
      <c r="C919" s="7"/>
      <c r="D919" s="7"/>
      <c r="E919" s="7"/>
      <c r="F919" s="7"/>
      <c r="G919" s="7"/>
      <c r="H919" s="11"/>
    </row>
    <row r="920" spans="1:8" s="26" customFormat="1" ht="15.75">
      <c r="A920" s="7"/>
      <c r="B920" s="24"/>
      <c r="C920" s="7"/>
      <c r="D920" s="7"/>
      <c r="E920" s="7"/>
      <c r="F920" s="7"/>
      <c r="G920" s="7"/>
      <c r="H920" s="11"/>
    </row>
    <row r="921" spans="1:8" s="26" customFormat="1" ht="15.75">
      <c r="A921" s="7"/>
      <c r="B921" s="24"/>
      <c r="C921" s="7"/>
      <c r="D921" s="7"/>
      <c r="E921" s="7"/>
      <c r="F921" s="7"/>
      <c r="G921" s="7"/>
      <c r="H921" s="11"/>
    </row>
    <row r="922" spans="1:8" s="26" customFormat="1" ht="15.75">
      <c r="A922" s="7"/>
      <c r="B922" s="24"/>
      <c r="C922" s="7"/>
      <c r="D922" s="7"/>
      <c r="E922" s="7"/>
      <c r="F922" s="7"/>
      <c r="G922" s="7"/>
      <c r="H922" s="11"/>
    </row>
    <row r="923" spans="1:8" s="26" customFormat="1" ht="15.75">
      <c r="A923" s="7"/>
      <c r="B923" s="24"/>
      <c r="C923" s="7"/>
      <c r="D923" s="7"/>
      <c r="E923" s="7"/>
      <c r="F923" s="7"/>
      <c r="G923" s="7"/>
      <c r="H923" s="11"/>
    </row>
    <row r="924" spans="1:8" s="26" customFormat="1" ht="15.75">
      <c r="A924" s="7"/>
      <c r="B924" s="24"/>
      <c r="C924" s="7"/>
      <c r="D924" s="7"/>
      <c r="E924" s="7"/>
      <c r="F924" s="7"/>
      <c r="G924" s="7"/>
      <c r="H924" s="11"/>
    </row>
    <row r="925" spans="1:8" s="26" customFormat="1" ht="15.75">
      <c r="A925" s="7"/>
      <c r="B925" s="24"/>
      <c r="C925" s="7"/>
      <c r="D925" s="7"/>
      <c r="E925" s="7"/>
      <c r="F925" s="7"/>
      <c r="G925" s="7"/>
      <c r="H925" s="11"/>
    </row>
    <row r="926" spans="1:8" s="26" customFormat="1" ht="15.75">
      <c r="A926" s="7"/>
      <c r="B926" s="24"/>
      <c r="C926" s="7"/>
      <c r="D926" s="7"/>
      <c r="E926" s="7"/>
      <c r="F926" s="7"/>
      <c r="G926" s="7"/>
      <c r="H926" s="11"/>
    </row>
    <row r="927" spans="1:8" s="26" customFormat="1" ht="15.75">
      <c r="A927" s="7"/>
      <c r="B927" s="24"/>
      <c r="C927" s="7"/>
      <c r="D927" s="7"/>
      <c r="E927" s="7"/>
      <c r="F927" s="7"/>
      <c r="G927" s="7"/>
      <c r="H927" s="11"/>
    </row>
    <row r="928" spans="1:8" s="26" customFormat="1" ht="15.75">
      <c r="A928" s="7"/>
      <c r="B928" s="24"/>
      <c r="C928" s="7"/>
      <c r="D928" s="7"/>
      <c r="E928" s="7"/>
      <c r="F928" s="7"/>
      <c r="G928" s="7"/>
      <c r="H928" s="11"/>
    </row>
    <row r="929" spans="1:8" s="26" customFormat="1" ht="15.75">
      <c r="A929" s="7"/>
      <c r="B929" s="24"/>
      <c r="C929" s="7"/>
      <c r="D929" s="7"/>
      <c r="E929" s="7"/>
      <c r="F929" s="7"/>
      <c r="G929" s="7"/>
      <c r="H929" s="11"/>
    </row>
    <row r="930" spans="1:8" s="26" customFormat="1" ht="15.75">
      <c r="A930" s="7"/>
      <c r="B930" s="24"/>
      <c r="C930" s="7"/>
      <c r="D930" s="7"/>
      <c r="E930" s="7"/>
      <c r="F930" s="7"/>
      <c r="G930" s="7"/>
      <c r="H930" s="11"/>
    </row>
    <row r="931" spans="1:8" s="26" customFormat="1">
      <c r="A931" s="55" t="s">
        <v>488</v>
      </c>
      <c r="B931" s="56"/>
      <c r="C931" s="56"/>
      <c r="D931" s="56"/>
      <c r="E931" s="56"/>
      <c r="F931" s="57"/>
      <c r="G931" s="58">
        <f>150*H877</f>
        <v>4188150</v>
      </c>
      <c r="H931" s="59"/>
    </row>
    <row r="932" spans="1:8" s="26" customFormat="1">
      <c r="A932" s="37"/>
      <c r="B932" s="37"/>
      <c r="C932" s="37"/>
      <c r="D932" s="37"/>
      <c r="E932" s="37"/>
      <c r="F932" s="37"/>
      <c r="G932" s="38"/>
      <c r="H932" s="38"/>
    </row>
    <row r="933" spans="1:8" s="26" customFormat="1">
      <c r="A933" s="37"/>
      <c r="B933" s="37"/>
      <c r="C933" s="37"/>
      <c r="D933" s="37"/>
      <c r="E933" s="37"/>
      <c r="F933" s="37"/>
      <c r="G933" s="38"/>
      <c r="H933" s="38"/>
    </row>
    <row r="934" spans="1:8" s="26" customFormat="1">
      <c r="A934" s="40"/>
      <c r="B934" s="41"/>
      <c r="C934" s="41"/>
      <c r="D934" s="41"/>
      <c r="E934" s="41"/>
      <c r="F934" s="42"/>
      <c r="G934"/>
      <c r="H934" s="38"/>
    </row>
    <row r="935" spans="1:8" s="26" customFormat="1">
      <c r="A935" s="43"/>
      <c r="B935" s="44"/>
      <c r="C935" s="44"/>
      <c r="D935" s="44"/>
      <c r="E935" s="44"/>
      <c r="F935" s="45"/>
      <c r="H935" s="38"/>
    </row>
    <row r="936" spans="1:8" s="26" customFormat="1">
      <c r="A936" s="43"/>
      <c r="B936" s="44"/>
      <c r="C936" s="44"/>
      <c r="D936" s="49" t="s">
        <v>1511</v>
      </c>
      <c r="E936" s="49"/>
      <c r="F936" s="45"/>
    </row>
    <row r="937" spans="1:8" s="26" customFormat="1" ht="18" customHeight="1">
      <c r="A937" s="43"/>
      <c r="B937" s="44"/>
      <c r="C937" s="44"/>
      <c r="D937" s="50">
        <f>G931-D940</f>
        <v>3271350</v>
      </c>
      <c r="E937" s="51"/>
      <c r="F937" s="45"/>
    </row>
    <row r="938" spans="1:8" s="26" customFormat="1">
      <c r="A938" s="43"/>
      <c r="B938" s="44"/>
      <c r="C938" s="44"/>
      <c r="D938" s="44"/>
      <c r="E938" s="44"/>
      <c r="F938" s="45"/>
    </row>
    <row r="939" spans="1:8" s="26" customFormat="1">
      <c r="A939" s="43"/>
      <c r="B939" s="44"/>
      <c r="C939" s="44"/>
      <c r="D939" s="49" t="s">
        <v>1673</v>
      </c>
      <c r="E939" s="49"/>
      <c r="F939" s="45"/>
    </row>
    <row r="940" spans="1:8" s="26" customFormat="1" ht="16.5" customHeight="1">
      <c r="A940" s="43"/>
      <c r="B940" s="44"/>
      <c r="C940" s="44"/>
      <c r="D940" s="50">
        <f>SUM(D943:D956)</f>
        <v>916800</v>
      </c>
      <c r="E940" s="51"/>
      <c r="F940" s="45"/>
    </row>
    <row r="941" spans="1:8" s="26" customFormat="1">
      <c r="A941" s="43"/>
      <c r="B941" s="44"/>
      <c r="C941" s="44"/>
      <c r="D941" s="39"/>
      <c r="E941" s="39"/>
      <c r="F941" s="45"/>
    </row>
    <row r="942" spans="1:8" s="26" customFormat="1" ht="33" customHeight="1">
      <c r="A942" s="43"/>
      <c r="B942" s="36" t="s">
        <v>2</v>
      </c>
      <c r="C942" s="36" t="s">
        <v>1510</v>
      </c>
      <c r="D942" s="36" t="s">
        <v>1362</v>
      </c>
      <c r="E942" s="36" t="s">
        <v>1361</v>
      </c>
      <c r="F942" s="45"/>
    </row>
    <row r="943" spans="1:8" s="26" customFormat="1" ht="16.5" customHeight="1">
      <c r="A943" s="43"/>
      <c r="B943" s="27"/>
      <c r="C943" s="27" t="s">
        <v>488</v>
      </c>
      <c r="D943" s="27"/>
      <c r="E943" s="35">
        <f>G931</f>
        <v>4188150</v>
      </c>
      <c r="F943" s="45"/>
      <c r="G943"/>
    </row>
    <row r="944" spans="1:8" s="26" customFormat="1" ht="16.5" customHeight="1">
      <c r="A944" s="43"/>
      <c r="B944" s="32" t="s">
        <v>918</v>
      </c>
      <c r="C944" s="29" t="s">
        <v>917</v>
      </c>
      <c r="D944" s="34">
        <v>466800</v>
      </c>
      <c r="E944" s="7">
        <f>ABS(D944-E943)</f>
        <v>3721350</v>
      </c>
      <c r="F944" s="45"/>
      <c r="G944"/>
    </row>
    <row r="945" spans="1:8" s="26" customFormat="1" ht="16.5" customHeight="1">
      <c r="A945" s="43"/>
      <c r="B945" s="27" t="s">
        <v>942</v>
      </c>
      <c r="C945" s="7" t="s">
        <v>917</v>
      </c>
      <c r="D945" s="28">
        <v>150000</v>
      </c>
      <c r="E945" s="7">
        <f>ABS(D945-E944)</f>
        <v>3571350</v>
      </c>
      <c r="F945" s="45"/>
      <c r="G945"/>
      <c r="H945"/>
    </row>
    <row r="946" spans="1:8" s="26" customFormat="1" ht="16.5" customHeight="1">
      <c r="A946" s="43"/>
      <c r="B946" s="7" t="s">
        <v>1512</v>
      </c>
      <c r="C946" s="7" t="s">
        <v>917</v>
      </c>
      <c r="D946" s="7">
        <v>150000</v>
      </c>
      <c r="E946" s="7">
        <f>ABS(D946-E945)</f>
        <v>3421350</v>
      </c>
      <c r="F946" s="45"/>
      <c r="G946"/>
    </row>
    <row r="947" spans="1:8" s="26" customFormat="1" ht="16.5" customHeight="1">
      <c r="A947" s="43"/>
      <c r="B947" s="7" t="s">
        <v>1634</v>
      </c>
      <c r="C947" s="7" t="s">
        <v>917</v>
      </c>
      <c r="D947" s="7">
        <v>150000</v>
      </c>
      <c r="E947" s="7">
        <f>ABS(D947-E946)</f>
        <v>3271350</v>
      </c>
      <c r="F947" s="45"/>
      <c r="G947"/>
      <c r="H947"/>
    </row>
    <row r="948" spans="1:8" s="26" customFormat="1" ht="16.5" customHeight="1">
      <c r="A948" s="43"/>
      <c r="B948" s="7"/>
      <c r="C948" s="7"/>
      <c r="D948" s="7"/>
      <c r="E948" s="7"/>
      <c r="F948" s="45"/>
      <c r="H948"/>
    </row>
    <row r="949" spans="1:8" s="26" customFormat="1" ht="16.5" customHeight="1">
      <c r="A949" s="43"/>
      <c r="B949" s="7"/>
      <c r="C949" s="7"/>
      <c r="D949" s="7"/>
      <c r="E949" s="7"/>
      <c r="F949" s="45"/>
      <c r="H949"/>
    </row>
    <row r="950" spans="1:8" s="26" customFormat="1" ht="16.5" customHeight="1">
      <c r="A950" s="43"/>
      <c r="B950" s="7"/>
      <c r="C950" s="7"/>
      <c r="D950" s="7"/>
      <c r="E950" s="7"/>
      <c r="F950" s="45"/>
    </row>
    <row r="951" spans="1:8" s="26" customFormat="1" ht="16.5" customHeight="1">
      <c r="A951" s="43"/>
      <c r="B951" s="7"/>
      <c r="C951" s="7"/>
      <c r="D951" s="7"/>
      <c r="E951" s="7"/>
      <c r="F951" s="45"/>
    </row>
    <row r="952" spans="1:8" s="26" customFormat="1" ht="16.5" customHeight="1">
      <c r="A952" s="43"/>
      <c r="B952" s="7"/>
      <c r="C952" s="7"/>
      <c r="D952" s="7"/>
      <c r="E952" s="7"/>
      <c r="F952" s="45"/>
      <c r="G952"/>
    </row>
    <row r="953" spans="1:8" s="26" customFormat="1" ht="16.5" customHeight="1">
      <c r="A953" s="43"/>
      <c r="B953" s="7"/>
      <c r="C953" s="7"/>
      <c r="D953" s="7"/>
      <c r="E953" s="7"/>
      <c r="F953" s="45"/>
      <c r="G953"/>
    </row>
    <row r="954" spans="1:8" s="26" customFormat="1" ht="16.5" customHeight="1">
      <c r="A954" s="43"/>
      <c r="B954" s="7"/>
      <c r="C954" s="7"/>
      <c r="D954" s="7"/>
      <c r="E954" s="7"/>
      <c r="F954" s="45"/>
      <c r="G954"/>
      <c r="H954"/>
    </row>
    <row r="955" spans="1:8" s="26" customFormat="1" ht="16.5" customHeight="1">
      <c r="A955" s="43"/>
      <c r="B955" s="7"/>
      <c r="C955" s="7"/>
      <c r="D955" s="7"/>
      <c r="E955" s="7"/>
      <c r="F955" s="45"/>
      <c r="G955"/>
      <c r="H955"/>
    </row>
    <row r="956" spans="1:8" s="26" customFormat="1" ht="16.5" customHeight="1">
      <c r="A956" s="43"/>
      <c r="B956" s="7"/>
      <c r="C956" s="7"/>
      <c r="D956" s="7"/>
      <c r="E956" s="7"/>
      <c r="F956" s="45"/>
      <c r="G956"/>
      <c r="H956"/>
    </row>
    <row r="957" spans="1:8" s="26" customFormat="1">
      <c r="A957" s="43"/>
      <c r="B957" s="44"/>
      <c r="C957" s="44"/>
      <c r="D957" s="44"/>
      <c r="E957" s="44"/>
      <c r="F957" s="45"/>
      <c r="G957"/>
      <c r="H957"/>
    </row>
    <row r="958" spans="1:8" s="26" customFormat="1" ht="16.5" customHeight="1">
      <c r="A958" s="46"/>
      <c r="B958" s="47"/>
      <c r="C958" s="47"/>
      <c r="D958" s="47"/>
      <c r="E958" s="47"/>
      <c r="F958" s="48"/>
      <c r="H958"/>
    </row>
    <row r="959" spans="1:8" s="26" customFormat="1">
      <c r="H959"/>
    </row>
    <row r="960" spans="1:8" s="26" customFormat="1"/>
    <row r="961" spans="7:8" s="26" customFormat="1"/>
    <row r="962" spans="7:8" s="26" customFormat="1"/>
    <row r="963" spans="7:8" s="26" customFormat="1">
      <c r="G963"/>
    </row>
    <row r="964" spans="7:8" s="26" customFormat="1">
      <c r="G964"/>
    </row>
    <row r="965" spans="7:8" s="26" customFormat="1">
      <c r="G965"/>
      <c r="H965"/>
    </row>
    <row r="966" spans="7:8" s="26" customFormat="1">
      <c r="G966"/>
      <c r="H966"/>
    </row>
    <row r="967" spans="7:8" s="26" customFormat="1">
      <c r="G967"/>
      <c r="H967"/>
    </row>
    <row r="968" spans="7:8" s="26" customFormat="1">
      <c r="G968"/>
      <c r="H968"/>
    </row>
    <row r="969" spans="7:8" s="26" customFormat="1">
      <c r="G969"/>
      <c r="H969"/>
    </row>
    <row r="970" spans="7:8" s="26" customFormat="1">
      <c r="G970"/>
      <c r="H970"/>
    </row>
    <row r="971" spans="7:8" s="26" customFormat="1">
      <c r="G971"/>
      <c r="H971"/>
    </row>
    <row r="972" spans="7:8" s="26" customFormat="1">
      <c r="G972"/>
      <c r="H972"/>
    </row>
    <row r="973" spans="7:8" s="26" customFormat="1">
      <c r="G973"/>
      <c r="H973"/>
    </row>
    <row r="974" spans="7:8" s="26" customFormat="1">
      <c r="G974"/>
      <c r="H974"/>
    </row>
    <row r="975" spans="7:8" s="26" customFormat="1">
      <c r="G975"/>
      <c r="H975"/>
    </row>
    <row r="976" spans="7:8" s="26" customFormat="1">
      <c r="G976"/>
      <c r="H976"/>
    </row>
    <row r="977" spans="6:10" s="26" customFormat="1">
      <c r="G977"/>
      <c r="H977"/>
    </row>
    <row r="978" spans="6:10" s="26" customFormat="1">
      <c r="G978"/>
      <c r="H978"/>
    </row>
    <row r="979" spans="6:10" s="26" customFormat="1">
      <c r="G979"/>
      <c r="H979"/>
    </row>
    <row r="980" spans="6:10" s="26" customFormat="1">
      <c r="G980"/>
      <c r="H980"/>
    </row>
    <row r="981" spans="6:10" s="26" customFormat="1">
      <c r="G981"/>
      <c r="H981"/>
    </row>
    <row r="982" spans="6:10" s="26" customFormat="1">
      <c r="G982"/>
      <c r="H982"/>
    </row>
    <row r="983" spans="6:10" s="26" customFormat="1">
      <c r="G983"/>
      <c r="H983"/>
    </row>
    <row r="984" spans="6:10" s="26" customFormat="1">
      <c r="G984"/>
      <c r="H984"/>
    </row>
    <row r="985" spans="6:10" s="26" customFormat="1">
      <c r="G985"/>
      <c r="H985"/>
    </row>
    <row r="986" spans="6:10">
      <c r="F986" s="26"/>
      <c r="J986" s="26"/>
    </row>
    <row r="987" spans="6:10">
      <c r="F987" s="26"/>
      <c r="J987" s="26"/>
    </row>
    <row r="988" spans="6:10">
      <c r="F988" s="26"/>
      <c r="J988" s="26"/>
    </row>
    <row r="989" spans="6:10">
      <c r="F989" s="26"/>
    </row>
    <row r="990" spans="6:10">
      <c r="F990" s="26"/>
    </row>
    <row r="991" spans="6:10">
      <c r="F991" s="26"/>
    </row>
    <row r="992" spans="6:10">
      <c r="F992" s="26"/>
    </row>
  </sheetData>
  <sheetProtection selectLockedCells="1" selectUnlockedCells="1"/>
  <mergeCells count="7">
    <mergeCell ref="D939:E939"/>
    <mergeCell ref="D940:E940"/>
    <mergeCell ref="A1:H1"/>
    <mergeCell ref="A931:F931"/>
    <mergeCell ref="G931:H931"/>
    <mergeCell ref="D936:E936"/>
    <mergeCell ref="D937:E937"/>
  </mergeCells>
  <pageMargins left="0.7" right="0.7" top="0.75" bottom="0.75" header="0.3" footer="0.3"/>
  <pageSetup scale="85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2025-11-12T05:31:41Z</dcterms:created>
  <dcterms:modified xsi:type="dcterms:W3CDTF">2025-12-06T06:45:58Z</dcterms:modified>
</cp:coreProperties>
</file>