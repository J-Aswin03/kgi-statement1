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J32" i="1"/>
  <c r="G32"/>
  <c r="K30"/>
  <c r="K32" s="1"/>
  <c r="I30"/>
  <c r="J21"/>
  <c r="G21"/>
  <c r="I19"/>
  <c r="K19" s="1"/>
  <c r="I18"/>
  <c r="K18" s="1"/>
  <c r="G8"/>
  <c r="I6"/>
  <c r="K6" s="1"/>
  <c r="J8"/>
  <c r="K5"/>
  <c r="K8" s="1"/>
  <c r="I5"/>
  <c r="K21" l="1"/>
</calcChain>
</file>

<file path=xl/sharedStrings.xml><?xml version="1.0" encoding="utf-8"?>
<sst xmlns="http://schemas.openxmlformats.org/spreadsheetml/2006/main" count="65" uniqueCount="24">
  <si>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</si>
  <si>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</si>
  <si>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</si>
  <si>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</si>
  <si>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</si>
  <si>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</si>
  <si>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</si>
  <si>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</si>
  <si>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</si>
  <si>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</si>
  <si>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</si>
  <si>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WASTE</t>
  </si>
  <si>
    <t>TOTAL</t>
  </si>
  <si>
    <t xml:space="preserve">CASH </t>
  </si>
  <si>
    <t>KUMAR</t>
  </si>
  <si>
    <t>POOTHAPANDI</t>
  </si>
  <si>
    <t>TN74AU7530</t>
  </si>
  <si>
    <t>VINOTH</t>
  </si>
  <si>
    <t>CHENBAGARAMANPUTHUR</t>
  </si>
  <si>
    <t>TN74BD1729</t>
  </si>
  <si>
    <t>_______________________________________________________________________________________________________________________________________</t>
  </si>
  <si>
    <t>MURUGAN</t>
  </si>
  <si>
    <t>SEETHAPAL</t>
  </si>
  <si>
    <t>TN74BA7256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</si>
</sst>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14" fontId="0" fillId="0" borderId="0" xfId="0" applyNumberFormat="1" applyBorder="1" applyAlignment="1"/>
    <xf numFmtId="0" fontId="0" fillId="0" borderId="0" xfId="0" applyBorder="1"/>
    <xf numFmtId="0" fontId="0" fillId="0" borderId="0" xfId="0" applyFont="1" applyBorder="1" applyAlignment="1"/>
    <xf numFmtId="0" fontId="0" fillId="0" borderId="0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on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43"/>
  <sheetViews>
    <sheetView tabSelected="1" topLeftCell="A13" workbookViewId="0">
      <selection activeCell="D25" sqref="D25"/>
    </sheetView>
  </sheetViews>
  <sheetFormatPr defaultRowHeight="15"/>
  <cols>
    <col min="1" max="1" width="4.85546875" bestFit="1" customWidth="1"/>
    <col min="2" max="2" width="11.28515625" customWidth="1"/>
    <col min="3" max="3" width="15.28515625" customWidth="1"/>
    <col min="4" max="4" width="25.28515625" bestFit="1" customWidth="1"/>
    <col min="5" max="5" width="13" customWidth="1"/>
    <col min="6" max="7" width="10.28515625" customWidth="1"/>
    <col min="10" max="10" width="9.5703125" customWidth="1"/>
    <col min="11" max="11" width="13.28515625" customWidth="1"/>
  </cols>
  <sheetData>
    <row r="2" spans="1:11">
      <c r="A2" s="14" t="s">
        <v>13</v>
      </c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8.5" customHeight="1">
      <c r="A4" s="2" t="s">
        <v>0</v>
      </c>
      <c r="B4" s="3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spans="1:11" ht="19.5" customHeight="1">
      <c r="A5" s="7">
        <v>1</v>
      </c>
      <c r="B5" s="5">
        <v>45728</v>
      </c>
      <c r="C5" s="4" t="s">
        <v>14</v>
      </c>
      <c r="D5" s="4" t="s">
        <v>15</v>
      </c>
      <c r="E5" s="4" t="s">
        <v>16</v>
      </c>
      <c r="F5" s="8" t="s">
        <v>11</v>
      </c>
      <c r="G5" s="7">
        <v>6.79</v>
      </c>
      <c r="H5" s="7">
        <v>300</v>
      </c>
      <c r="I5" s="7">
        <f>G5*H5</f>
        <v>2037</v>
      </c>
      <c r="J5" s="7">
        <v>0</v>
      </c>
      <c r="K5" s="7">
        <f>ROUND(I5+J5,-1)</f>
        <v>2040</v>
      </c>
    </row>
    <row r="6" spans="1:11" ht="16.5" customHeight="1">
      <c r="A6" s="7">
        <v>2</v>
      </c>
      <c r="B6" s="5">
        <v>45728</v>
      </c>
      <c r="C6" s="4" t="s">
        <v>17</v>
      </c>
      <c r="D6" s="4" t="s">
        <v>18</v>
      </c>
      <c r="E6" s="4" t="s">
        <v>19</v>
      </c>
      <c r="F6" s="8" t="s">
        <v>11</v>
      </c>
      <c r="G6" s="7">
        <v>2.08</v>
      </c>
      <c r="H6" s="7">
        <v>300</v>
      </c>
      <c r="I6" s="7">
        <f>G6*H6</f>
        <v>624</v>
      </c>
      <c r="J6" s="7">
        <v>0</v>
      </c>
      <c r="K6" s="7">
        <f>ROUND(I6+J6,-1)</f>
        <v>620</v>
      </c>
    </row>
    <row r="7" spans="1:11">
      <c r="A7" s="14" t="s">
        <v>20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>
      <c r="A8" s="14" t="s">
        <v>12</v>
      </c>
      <c r="B8" s="14"/>
      <c r="C8" s="14"/>
      <c r="D8" s="14"/>
      <c r="E8" s="14"/>
      <c r="F8" s="14"/>
      <c r="G8" s="6">
        <f>SUM(G5:G6)</f>
        <v>8.870000000000001</v>
      </c>
      <c r="H8" s="6"/>
      <c r="I8" s="6"/>
      <c r="J8" s="6">
        <f>SUM(J5)</f>
        <v>0</v>
      </c>
      <c r="K8" s="6">
        <f>SUM(K5:K6)</f>
        <v>2660</v>
      </c>
    </row>
    <row r="9" spans="1:11" ht="8.25" customHeight="1">
      <c r="A9" s="15" t="s">
        <v>20</v>
      </c>
      <c r="B9" s="15"/>
      <c r="C9" s="15"/>
      <c r="D9" s="15"/>
      <c r="E9" s="15"/>
      <c r="F9" s="15"/>
      <c r="G9" s="15"/>
      <c r="H9" s="15"/>
      <c r="I9" s="15"/>
      <c r="J9" s="15"/>
      <c r="K9" s="15"/>
    </row>
    <row r="15" spans="1:11">
      <c r="A15" s="14" t="s">
        <v>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spans="1:1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ht="30">
      <c r="A17" s="2" t="s">
        <v>0</v>
      </c>
      <c r="B17" s="3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8</v>
      </c>
      <c r="J17" s="2" t="s">
        <v>9</v>
      </c>
      <c r="K17" s="2" t="s">
        <v>10</v>
      </c>
    </row>
    <row r="18" spans="1:11">
      <c r="A18" s="7">
        <v>1</v>
      </c>
      <c r="B18" s="5">
        <v>45728</v>
      </c>
      <c r="C18" s="4" t="s">
        <v>14</v>
      </c>
      <c r="D18" s="4" t="s">
        <v>15</v>
      </c>
      <c r="E18" s="4" t="s">
        <v>16</v>
      </c>
      <c r="F18" s="8" t="s">
        <v>11</v>
      </c>
      <c r="G18" s="7">
        <v>6.79</v>
      </c>
      <c r="H18" s="7">
        <v>300</v>
      </c>
      <c r="I18" s="7">
        <f>G18*H18</f>
        <v>2037</v>
      </c>
      <c r="J18" s="7">
        <v>0</v>
      </c>
      <c r="K18" s="7">
        <f>ROUND(I18+J18,-1)</f>
        <v>2040</v>
      </c>
    </row>
    <row r="19" spans="1:11">
      <c r="A19" s="7">
        <v>2</v>
      </c>
      <c r="B19" s="5">
        <v>45728</v>
      </c>
      <c r="C19" s="4" t="s">
        <v>17</v>
      </c>
      <c r="D19" s="4" t="s">
        <v>18</v>
      </c>
      <c r="E19" s="4" t="s">
        <v>19</v>
      </c>
      <c r="F19" s="8" t="s">
        <v>11</v>
      </c>
      <c r="G19" s="7">
        <v>2.08</v>
      </c>
      <c r="H19" s="7">
        <v>300</v>
      </c>
      <c r="I19" s="7">
        <f>G19*H19</f>
        <v>624</v>
      </c>
      <c r="J19" s="7">
        <v>0</v>
      </c>
      <c r="K19" s="7">
        <f>ROUND(I19+J19,-1)</f>
        <v>620</v>
      </c>
    </row>
    <row r="20" spans="1:11">
      <c r="A20" s="14" t="s">
        <v>20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1:11">
      <c r="A21" s="14" t="s">
        <v>12</v>
      </c>
      <c r="B21" s="14"/>
      <c r="C21" s="14"/>
      <c r="D21" s="14"/>
      <c r="E21" s="14"/>
      <c r="F21" s="14"/>
      <c r="G21" s="6">
        <f>SUM(G18:G19)</f>
        <v>8.870000000000001</v>
      </c>
      <c r="H21" s="6"/>
      <c r="I21" s="6"/>
      <c r="J21" s="6">
        <f>SUM(J18)</f>
        <v>0</v>
      </c>
      <c r="K21" s="6">
        <f>SUM(K18:K19)</f>
        <v>2660</v>
      </c>
    </row>
    <row r="22" spans="1:11">
      <c r="A22" s="16" t="s">
        <v>20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7" spans="1:11">
      <c r="A27" s="14" t="s">
        <v>13</v>
      </c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1" ht="30">
      <c r="A29" s="2" t="s">
        <v>0</v>
      </c>
      <c r="B29" s="3" t="s">
        <v>1</v>
      </c>
      <c r="C29" s="2" t="s">
        <v>2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8</v>
      </c>
      <c r="J29" s="2" t="s">
        <v>9</v>
      </c>
      <c r="K29" s="2" t="s">
        <v>10</v>
      </c>
    </row>
    <row r="30" spans="1:11">
      <c r="A30" s="11">
        <v>1</v>
      </c>
      <c r="B30" s="12">
        <v>45789</v>
      </c>
      <c r="C30" s="10" t="s">
        <v>21</v>
      </c>
      <c r="D30" s="10" t="s">
        <v>22</v>
      </c>
      <c r="E30" s="10" t="s">
        <v>23</v>
      </c>
      <c r="F30" s="13" t="s">
        <v>11</v>
      </c>
      <c r="G30" s="11">
        <v>4.63</v>
      </c>
      <c r="H30" s="11">
        <v>300</v>
      </c>
      <c r="I30" s="11">
        <f>G30*H30</f>
        <v>1389</v>
      </c>
      <c r="J30" s="11">
        <v>0</v>
      </c>
      <c r="K30" s="11">
        <f>ROUND(I30+J30,-1)</f>
        <v>1390</v>
      </c>
    </row>
    <row r="31" spans="1:11">
      <c r="A31" s="14" t="s">
        <v>20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 spans="1:11">
      <c r="A32" s="14" t="s">
        <v>12</v>
      </c>
      <c r="B32" s="14"/>
      <c r="C32" s="14"/>
      <c r="D32" s="14"/>
      <c r="E32" s="14"/>
      <c r="F32" s="14"/>
      <c r="G32" s="6">
        <f>SUM(G30:G30)</f>
        <v>4.63</v>
      </c>
      <c r="H32" s="6"/>
      <c r="I32" s="6"/>
      <c r="J32" s="6">
        <f>SUM(J30)</f>
        <v>0</v>
      </c>
      <c r="K32" s="6">
        <f>SUM(K30:K30)</f>
        <v>1390</v>
      </c>
    </row>
    <row r="33" spans="1:11">
      <c r="A33" s="15" t="s">
        <v>20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7" spans="1:1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>
      <c r="A39" s="2"/>
      <c r="B39" s="3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11"/>
      <c r="B40" s="12"/>
      <c r="C40" s="10"/>
      <c r="D40" s="10"/>
      <c r="E40" s="10"/>
      <c r="F40" s="13"/>
      <c r="G40" s="11"/>
      <c r="H40" s="11"/>
      <c r="I40" s="11"/>
      <c r="J40" s="11"/>
      <c r="K40" s="11"/>
    </row>
    <row r="41" spans="1:1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spans="1:11">
      <c r="A42" s="14"/>
      <c r="B42" s="14"/>
      <c r="C42" s="14"/>
      <c r="D42" s="14"/>
      <c r="E42" s="14"/>
      <c r="F42" s="14"/>
      <c r="G42" s="6"/>
      <c r="H42" s="6"/>
      <c r="I42" s="6"/>
      <c r="J42" s="6"/>
      <c r="K42" s="6"/>
    </row>
    <row r="43" spans="1:1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</row>
  </sheetData>
  <mergeCells count="16">
    <mergeCell ref="A20:K20"/>
    <mergeCell ref="A21:F21"/>
    <mergeCell ref="A22:K22"/>
    <mergeCell ref="A2:K2"/>
    <mergeCell ref="A7:K7"/>
    <mergeCell ref="A8:F8"/>
    <mergeCell ref="A9:K9"/>
    <mergeCell ref="A15:K15"/>
    <mergeCell ref="A41:K41"/>
    <mergeCell ref="A42:F42"/>
    <mergeCell ref="A43:K43"/>
    <mergeCell ref="A27:K27"/>
    <mergeCell ref="A31:K31"/>
    <mergeCell ref="A32:F32"/>
    <mergeCell ref="A33:K33"/>
    <mergeCell ref="A37:K37"/>
  </mergeCells>
  <pageMargins left="0.7" right="0.7" top="0.75" bottom="0.75" header="0.3" footer="0.3"/>
  <pageSetup paperSize="9" scale="71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2025-12-06T11:01:24Z</dcterms:modified>
</cp:coreProperties>
</file>